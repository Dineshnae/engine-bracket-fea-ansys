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tum Scheme" sheetId="2" state="visible" r:id="rId4"/>
    <sheet name="FCF Register" sheetId="3" state="visible" r:id="rId5"/>
    <sheet name="Stackup-BoreHeight" sheetId="4" state="visible" r:id="rId6"/>
    <sheet name="Fastener Fit (MMC)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<sst xmlns="http://schemas.openxmlformats.org/spreadsheetml/2006/main" count="226" uniqueCount="193">
  <si>
    <t xml:space="preserve">GD&amp;T &amp; TOLERANCE STACK-UP ANALYSIS</t>
  </si>
  <si>
    <t xml:space="preserve">Aircraft Engine Mount Bracket  —  Design 2 (Topology-Optimised)</t>
  </si>
  <si>
    <t xml:space="preserve">Document</t>
  </si>
  <si>
    <t xml:space="preserve">Dimensional Management Dossier — DFM extension to FEA study</t>
  </si>
  <si>
    <t xml:space="preserve">Part name</t>
  </si>
  <si>
    <t xml:space="preserve">Aircraft engine mount bracket (clevis-lug type)</t>
  </si>
  <si>
    <t xml:space="preserve">Part number</t>
  </si>
  <si>
    <t xml:space="preserve">AEB-D2-1001</t>
  </si>
  <si>
    <t xml:space="preserve">Revision / date</t>
  </si>
  <si>
    <t xml:space="preserve">Rev A  /  2026</t>
  </si>
  <si>
    <t xml:space="preserve">Material</t>
  </si>
  <si>
    <t xml:space="preserve">SAE 4130 (chromoly steel), yield strength 460 MPa</t>
  </si>
  <si>
    <t xml:space="preserve">Base process</t>
  </si>
  <si>
    <t xml:space="preserve">CNC machined from billet; deburred, edge-break 0.3 max</t>
  </si>
  <si>
    <t xml:space="preserve">Governing standard</t>
  </si>
  <si>
    <t xml:space="preserve">ASME Y14.5-2018 (Dimensioning &amp; Tolerancing)</t>
  </si>
  <si>
    <t xml:space="preserve">General tolerance</t>
  </si>
  <si>
    <t xml:space="preserve">ISO 2768-mK (linear/angular), unless individually toleranced</t>
  </si>
  <si>
    <t xml:space="preserve">Units</t>
  </si>
  <si>
    <t xml:space="preserve">Millimetres (mm); diametral zones noted with Diameter symbol</t>
  </si>
  <si>
    <t xml:space="preserve">Engineer</t>
  </si>
  <si>
    <t xml:space="preserve">Dinesh Natarajan</t>
  </si>
  <si>
    <t xml:space="preserve">Scope</t>
  </si>
  <si>
    <t xml:space="preserve">Datum scheme, feature control frame register, 1D tolerance stacks (worst-case + RSS), fastener fit / MMC bonus, inspection plan</t>
  </si>
  <si>
    <t xml:space="preserve">Purpose:  this dossier converts the validated topology-optimised geometry into a manufacturable, inspectable definition. It assigns a function-driven datum reference frame, specifies geometric controls only where they are functionally justified, and proves the bolted interface assembles at the tolerance extremes via worst-case and statistical (RSS) stacks.</t>
  </si>
  <si>
    <t xml:space="preserve">DATUM REFERENCE FRAME  (function-driven, 3-2-1 constraint)</t>
  </si>
  <si>
    <t xml:space="preserve">Datum</t>
  </si>
  <si>
    <t xml:space="preserve">Datum feature</t>
  </si>
  <si>
    <t xml:space="preserve">Constrains</t>
  </si>
  <si>
    <t xml:space="preserve">DOF removed</t>
  </si>
  <si>
    <t xml:space="preserve">Functional rationale</t>
  </si>
  <si>
    <t xml:space="preserve">A</t>
  </si>
  <si>
    <t xml:space="preserve">Base flange mounting face</t>
  </si>
  <si>
    <t xml:space="preserve">Translation Z, rotation X, rotation Y</t>
  </si>
  <si>
    <t xml:space="preserve">3</t>
  </si>
  <si>
    <t xml:space="preserve">Seats first against the airframe/engine structure; carries bolt preload — primary load interface</t>
  </si>
  <si>
    <t xml:space="preserve">B</t>
  </si>
  <si>
    <t xml:space="preserve">Base locating hole #1 (reamed)</t>
  </si>
  <si>
    <t xml:space="preserve">Translation X, translation Y</t>
  </si>
  <si>
    <t xml:space="preserve">2</t>
  </si>
  <si>
    <t xml:space="preserve">Primary 2D locator; establishes part origin in the mounting plane</t>
  </si>
  <si>
    <t xml:space="preserve">C</t>
  </si>
  <si>
    <t xml:space="preserve">Base locating hole #2 (reamed)</t>
  </si>
  <si>
    <t xml:space="preserve">Rotation Z (clocking)</t>
  </si>
  <si>
    <t xml:space="preserve">1</t>
  </si>
  <si>
    <t xml:space="preserve">Anti-rotation / clocking; fixes the final rotational DOF</t>
  </si>
  <si>
    <t xml:space="preserve">Total DOF removed</t>
  </si>
  <si>
    <t xml:space="preserve">Fully constrained rigid body (6 DOF) — frame is complete and unambiguous</t>
  </si>
  <si>
    <t xml:space="preserve">Notes:  (1) Datum precedence A|B|C reflects assembly order, not feature size. (2) Datum features B and C are themselves controlled (see FCF register) so the frame is repeatable. (3) Where a feature-of-size datum is referenced at MMB, the datum shift is permitted and quantified in the fastener-fit sheet.</t>
  </si>
  <si>
    <t xml:space="preserve">FEATURE CONTROL FRAME (FCF) REGISTER  —  ASME Y14.5-2018</t>
  </si>
  <si>
    <t xml:space="preserve">#</t>
  </si>
  <si>
    <t xml:space="preserve">Feature</t>
  </si>
  <si>
    <t xml:space="preserve">Characteristic</t>
  </si>
  <si>
    <t xml:space="preserve">Tol. zone (mm)</t>
  </si>
  <si>
    <t xml:space="preserve">Datum ref</t>
  </si>
  <si>
    <t xml:space="preserve">Modifier</t>
  </si>
  <si>
    <t xml:space="preserve">Inspection method</t>
  </si>
  <si>
    <t xml:space="preserve">Datum A — base mounting face</t>
  </si>
  <si>
    <t xml:space="preserve">⏥  Flatness</t>
  </si>
  <si>
    <t xml:space="preserve">0.05</t>
  </si>
  <si>
    <t xml:space="preserve">—</t>
  </si>
  <si>
    <t xml:space="preserve">Uniform bolt preload; prevents rock/gapping at the joint</t>
  </si>
  <si>
    <t xml:space="preserve">CMM plane fit / surface plate</t>
  </si>
  <si>
    <t xml:space="preserve">Datum B — locating hole (Ø10 H8)</t>
  </si>
  <si>
    <t xml:space="preserve">⌭  Cylindricity</t>
  </si>
  <si>
    <t xml:space="preserve">0.01</t>
  </si>
  <si>
    <t xml:space="preserve">Clean pin/locator fit; stable datum</t>
  </si>
  <si>
    <t xml:space="preserve">CMM bore scan</t>
  </si>
  <si>
    <t xml:space="preserve">Datum B — locating hole</t>
  </si>
  <si>
    <t xml:space="preserve">⌖  Position</t>
  </si>
  <si>
    <t xml:space="preserve">Ø 0.10</t>
  </si>
  <si>
    <t xml:space="preserve">MMC</t>
  </si>
  <si>
    <t xml:space="preserve">Locator position about primary datum</t>
  </si>
  <si>
    <t xml:space="preserve">CMM</t>
  </si>
  <si>
    <t xml:space="preserve">4</t>
  </si>
  <si>
    <t xml:space="preserve">Datum C — locating hole (Ø10 H8)</t>
  </si>
  <si>
    <t xml:space="preserve">A | B</t>
  </si>
  <si>
    <t xml:space="preserve">Clocking control; fixes final DOF</t>
  </si>
  <si>
    <t xml:space="preserve">5</t>
  </si>
  <si>
    <t xml:space="preserve">Mounting bolt holes (2x, Ø8.4)</t>
  </si>
  <si>
    <t xml:space="preserve">Ø 0.20</t>
  </si>
  <si>
    <t xml:space="preserve">A | B | C</t>
  </si>
  <si>
    <t xml:space="preserve">Floating-fastener assembly to structure; bonus tol aids assembly</t>
  </si>
  <si>
    <t xml:space="preserve">CMM / functional gauge</t>
  </si>
  <si>
    <t xml:space="preserve">6</t>
  </si>
  <si>
    <t xml:space="preserve">Clevis pin bore (Ø20 H7)</t>
  </si>
  <si>
    <t xml:space="preserve">Ø 0.25</t>
  </si>
  <si>
    <t xml:space="preserve">Locates load line / pin to mounting frame</t>
  </si>
  <si>
    <t xml:space="preserve">7</t>
  </si>
  <si>
    <t xml:space="preserve">⟂  Perpendicularity</t>
  </si>
  <si>
    <t xml:space="preserve">Ø 0.05</t>
  </si>
  <si>
    <t xml:space="preserve">Bore axis square to mount plane; even pin bearing</t>
  </si>
  <si>
    <t xml:space="preserve">CMM axis fit</t>
  </si>
  <si>
    <t xml:space="preserve">8</t>
  </si>
  <si>
    <t xml:space="preserve">0.02</t>
  </si>
  <si>
    <t xml:space="preserve">Bearing/bush fit quality, low contact stress</t>
  </si>
  <si>
    <t xml:space="preserve">9</t>
  </si>
  <si>
    <t xml:space="preserve">Clevis fork inner faces (2x)</t>
  </si>
  <si>
    <t xml:space="preserve">∥  Parallelism</t>
  </si>
  <si>
    <t xml:space="preserve">0.10</t>
  </si>
  <si>
    <t xml:space="preserve">Fork clamps the mating tang evenly; no pin cocking</t>
  </si>
  <si>
    <t xml:space="preserve">CMM / height gauge</t>
  </si>
  <si>
    <t xml:space="preserve">10</t>
  </si>
  <si>
    <t xml:space="preserve">Optimised web / organic surface</t>
  </si>
  <si>
    <t xml:space="preserve">⌓  Profile of a surface</t>
  </si>
  <si>
    <t xml:space="preserve">0.50</t>
  </si>
  <si>
    <t xml:space="preserve">NON-mating TO surface — loose, function-driven tolerance</t>
  </si>
  <si>
    <t xml:space="preserve">3D scan vs CAD (GD&amp;T profile)</t>
  </si>
  <si>
    <t xml:space="preserve">Design principle:  tight form/orientation only on mating + load-path features (bores, mount face, locating holes). The topology-optimised web — the mass-reduced organic region — is NON-mating and therefore receives a deliberately loose profile tolerance (row 10). This is function-driven tolerancing: cost is spent only where function demands it.</t>
  </si>
  <si>
    <t xml:space="preserve">1D TOLERANCE STACK-UP  —  Clevis pin-bore axis height above Datum A</t>
  </si>
  <si>
    <t xml:space="preserve">Chain of machined dimensions from the mounting plane (Datum A) to the pin-bore axis. Worst-case (arithmetic) vs Root-Sum-Square (statistical, 3σ ≈ tolerance).</t>
  </si>
  <si>
    <t xml:space="preserve">Link</t>
  </si>
  <si>
    <t xml:space="preserve">Dimension (A -&gt; bore axis)</t>
  </si>
  <si>
    <t xml:space="preserve">Nominal (mm)</t>
  </si>
  <si>
    <t xml:space="preserve">± Tol (mm)</t>
  </si>
  <si>
    <t xml:space="preserve">Tol^2</t>
  </si>
  <si>
    <t xml:space="preserve">Contribution</t>
  </si>
  <si>
    <t xml:space="preserve">d1</t>
  </si>
  <si>
    <t xml:space="preserve">Face A to web root (flange thickness)</t>
  </si>
  <si>
    <t xml:space="preserve">linear, +/-</t>
  </si>
  <si>
    <t xml:space="preserve">d2</t>
  </si>
  <si>
    <t xml:space="preserve">Web root to lug shoulder</t>
  </si>
  <si>
    <t xml:space="preserve">d3</t>
  </si>
  <si>
    <t xml:space="preserve">Lug shoulder to bore axis</t>
  </si>
  <si>
    <t xml:space="preserve">Nominal pin-bore height</t>
  </si>
  <si>
    <t xml:space="preserve">RESULTS</t>
  </si>
  <si>
    <t xml:space="preserve">Worst-case tolerance  (Σ|tol|)</t>
  </si>
  <si>
    <t xml:space="preserve">Worst-case band (total)</t>
  </si>
  <si>
    <t xml:space="preserve">RSS tolerance  (√Σtol²)</t>
  </si>
  <si>
    <t xml:space="preserve">RSS band (total)</t>
  </si>
  <si>
    <t xml:space="preserve">RSS as % of worst-case</t>
  </si>
  <si>
    <t xml:space="preserve">Interface limit (mating clevis allowance)</t>
  </si>
  <si>
    <t xml:space="preserve">Pass / fail  (RSS ≤ limit)</t>
  </si>
  <si>
    <t xml:space="preserve">Interpretation:  worst-case assumes every machined dimension simultaneously hits its limit (rare). RSS reflects realistic production scatter, giving a markedly tighter expected band — the bore-to-mount interface stays within the mating clevis allowance, so the assembly will not bind. Blue cells are inputs; change a nominal or tolerance and all results recalculate.</t>
  </si>
  <si>
    <t xml:space="preserve">Chart data</t>
  </si>
  <si>
    <t xml:space="preserve">Worst-case</t>
  </si>
  <si>
    <t xml:space="preserve">RSS</t>
  </si>
  <si>
    <t xml:space="preserve">Interface limit</t>
  </si>
  <si>
    <t xml:space="preserve">FASTENER FIT &amp; MMC BONUS  —  base bolt holes (floating fastener)</t>
  </si>
  <si>
    <t xml:space="preserve">Parameter</t>
  </si>
  <si>
    <t xml:space="preserve">Value (mm)</t>
  </si>
  <si>
    <t xml:space="preserve">Description</t>
  </si>
  <si>
    <t xml:space="preserve">Fastener nominal (M8) — MMC of screw</t>
  </si>
  <si>
    <t xml:space="preserve">Largest screw body (MMC of fastener)</t>
  </si>
  <si>
    <t xml:space="preserve">Clearance hole — MMC (smallest hole)</t>
  </si>
  <si>
    <t xml:space="preserve">Hole lower limit (Ø8.4 +0.2/0)</t>
  </si>
  <si>
    <t xml:space="preserve">Clearance hole — LMC (largest hole)</t>
  </si>
  <si>
    <t xml:space="preserve">Hole upper limit</t>
  </si>
  <si>
    <t xml:space="preserve">Geometric position tol at MMC (per part)</t>
  </si>
  <si>
    <t xml:space="preserve">Floating fastener: split (H_MMC − F_MMC) across the two parts</t>
  </si>
  <si>
    <t xml:space="preserve">Stated position tol on drawing (per part)</t>
  </si>
  <si>
    <t xml:space="preserve">Value carried into FCF register (row 5)</t>
  </si>
  <si>
    <t xml:space="preserve">MMC BONUS TOLERANCE</t>
  </si>
  <si>
    <t xml:space="preserve">Bonus available at LMC  (LMC − MMC)</t>
  </si>
  <si>
    <t xml:space="preserve">Extra position tolerance as the hole departs MMC</t>
  </si>
  <si>
    <t xml:space="preserve">Allowable position at LMC  (geo + bonus)</t>
  </si>
  <si>
    <t xml:space="preserve">Total true-position zone when hole is at its largest</t>
  </si>
  <si>
    <t xml:space="preserve">VIRTUAL CONDITION &amp; ASSEMBLY CHECK</t>
  </si>
  <si>
    <t xml:space="preserve">Virtual condition of hole  (MMC − geo tol)</t>
  </si>
  <si>
    <t xml:space="preserve">Worst-case inner boundary the fastener must clear</t>
  </si>
  <si>
    <t xml:space="preserve">Clearance vs fastener MMC  (VC − F_MMC)</t>
  </si>
  <si>
    <t xml:space="preserve">Must be ≥ 0 for guaranteed assembly</t>
  </si>
  <si>
    <t xml:space="preserve">Assembly verdict</t>
  </si>
  <si>
    <t xml:space="preserve">Hole virtual condition stays clear of the largest screw at all sizes</t>
  </si>
  <si>
    <t xml:space="preserve">Takeaway:  the drawing's Ø0.20 (M) position on the base holes is derived from the floating-fastener rule, not guessed. The MMC modifier hands back bonus tolerance as holes grow toward LMC (up to Ø0.40 total), easing manufacture while the virtual-condition check still guarantees the bolts pass — assembly is proven at every size within limits.</t>
  </si>
  <si>
    <t xml:space="preserve">SUMMARY  —  dimensional management outcomes</t>
  </si>
  <si>
    <t xml:space="preserve">Metric</t>
  </si>
  <si>
    <t xml:space="preserve">Result</t>
  </si>
  <si>
    <t xml:space="preserve">Significance</t>
  </si>
  <si>
    <t xml:space="preserve">ASME Y14.5-2018</t>
  </si>
  <si>
    <t xml:space="preserve">Tier-1 OEM drawing language</t>
  </si>
  <si>
    <t xml:space="preserve">Datum frame</t>
  </si>
  <si>
    <t xml:space="preserve">A | B | C (3-2-1)</t>
  </si>
  <si>
    <t xml:space="preserve">Fully constrained, unambiguous</t>
  </si>
  <si>
    <t xml:space="preserve">Geometric controls specified</t>
  </si>
  <si>
    <t xml:space="preserve">Function-driven, not blanket-tight</t>
  </si>
  <si>
    <t xml:space="preserve">Tightest form control</t>
  </si>
  <si>
    <t xml:space="preserve">Cylindricity 0.01 (Datum B)</t>
  </si>
  <si>
    <t xml:space="preserve">Locator/bearing fit quality</t>
  </si>
  <si>
    <t xml:space="preserve">Bore-height stack — worst case</t>
  </si>
  <si>
    <t xml:space="preserve">Conservative bound</t>
  </si>
  <si>
    <t xml:space="preserve">Bore-height stack — RSS</t>
  </si>
  <si>
    <t xml:space="preserve">Realistic production band</t>
  </si>
  <si>
    <t xml:space="preserve">RSS vs worst-case</t>
  </si>
  <si>
    <t xml:space="preserve">Statistical tightening</t>
  </si>
  <si>
    <t xml:space="preserve">Base-hole position (MMC)</t>
  </si>
  <si>
    <t xml:space="preserve">Ø0.20 (M)</t>
  </si>
  <si>
    <t xml:space="preserve">Floating-fastener derived</t>
  </si>
  <si>
    <t xml:space="preserve">Allowable position at LMC</t>
  </si>
  <si>
    <t xml:space="preserve">Eases manufacture</t>
  </si>
  <si>
    <t xml:space="preserve">Assembly guarantee</t>
  </si>
  <si>
    <t xml:space="preserve">Virtual-condition proven</t>
  </si>
  <si>
    <t xml:space="preserve">One-line story for interview:  "I closed the loop on the optimised bracket — assigned a function-driven A|B|C datum frame, specified GD&amp;T only on mating and load-path features, and proved the bolted interface assembles at MMC with a worst-case and RSS stack."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</si>
</sst>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"/>
    <numFmt numFmtId="167" formatCode="0.0000"/>
    <numFmt numFmtId="168" formatCode="0.000"/>
    <numFmt numFmtId="169" formatCode="0.0%"/>
    <numFmt numFmtId="170" formatCode="&quot;Ø &quot;0.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0"/>
      <color rgb="FF1F3B57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F3B57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1E7A47"/>
      <name val="Arial"/>
      <family val="0"/>
      <charset val="1"/>
    </font>
    <font>
      <b val="true"/>
      <sz val="9"/>
      <color rgb="FF1F3B5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2E5A82"/>
        <bgColor rgb="FF555555"/>
      </patternFill>
    </fill>
    <fill>
      <patternFill patternType="solid">
        <fgColor rgb="FFEEF3F9"/>
        <bgColor rgb="FFF1EFE8"/>
      </patternFill>
    </fill>
    <fill>
      <patternFill patternType="solid">
        <fgColor rgb="FFFFF3D6"/>
        <bgColor rgb="FFF1EFE8"/>
      </patternFill>
    </fill>
    <fill>
      <patternFill patternType="solid">
        <fgColor rgb="FFE3F0DE"/>
        <bgColor rgb="FFF1EFE8"/>
      </patternFill>
    </fill>
    <fill>
      <patternFill patternType="solid">
        <fgColor rgb="FFF1EFE8"/>
        <bgColor rgb="FFEEF3F9"/>
      </patternFill>
    </fill>
    <fill>
      <patternFill patternType="solid">
        <fgColor rgb="FFFBE3E3"/>
        <bgColor rgb="FFF1EF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  <border diagonalUp="false" diagonalDown="false">
      <left style="thin">
        <color rgb="FFB8C4D0"/>
      </left>
      <right/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9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0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70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7"/>
      <rgbColor rgb="FFB8C4D0"/>
      <rgbColor rgb="FF878787"/>
      <rgbColor rgb="FF9999FF"/>
      <rgbColor rgb="FF993366"/>
      <rgbColor rgb="FFFFF3D6"/>
      <rgbColor rgb="FFEEF3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E3F0DE"/>
      <rgbColor rgb="FFF9F9F9"/>
      <rgbColor rgb="FF99CCFF"/>
      <rgbColor rgb="FFFF99CC"/>
      <rgbColor rgb="FFCC99FF"/>
      <rgbColor rgb="FFFBE3E3"/>
      <rgbColor rgb="FF4F81BD"/>
      <rgbColor rgb="FF33CCCC"/>
      <rgbColor rgb="FF99CC00"/>
      <rgbColor rgb="FFFFCC00"/>
      <rgbColor rgb="FFFF9900"/>
      <rgbColor rgb="FFFF6600"/>
      <rgbColor rgb="FF777777"/>
      <rgbColor rgb="FF969696"/>
      <rgbColor rgb="FF003366"/>
      <rgbColor rgb="FF339966"/>
      <rgbColor rgb="FF003300"/>
      <rgbColor rgb="FF555555"/>
      <rgbColor rgb="FF993300"/>
      <rgbColor rgb="FF993366"/>
      <rgbColor rgb="FF2E5A82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± Tolerance on pin-bore height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'Stackup-BoreHeight'!$B$23:$B$25</c:f>
              <c:strCache>
                <c:ptCount val="3"/>
                <c:pt idx="0">
                  <c:v>Worst-case</c:v>
                </c:pt>
                <c:pt idx="1">
                  <c:v>RSS</c:v>
                </c:pt>
                <c:pt idx="2">
                  <c:v>Interface limit</c:v>
                </c:pt>
              </c:strCache>
            </c:strRef>
          </c:cat>
          <c:val>
            <c:numRef>
              <c:f>'Stackup-BoreHeight'!$C$23:$C$25</c:f>
              <c:numCache>
                <c:formatCode>0.000</c:formatCode>
                <c:ptCount val="3"/>
                <c:pt idx="0">
                  <c:v>0.35</c:v>
                </c:pt>
                <c:pt idx="1">
                  <c:v>0.206155281280883</c:v>
                </c:pt>
                <c:pt idx="2">
                  <c:v>0.3</c:v>
                </c:pt>
              </c:numCache>
            </c:numRef>
          </c:val>
        </c:ser>
        <c:gapWidth val="150"/>
        <c:overlap val="0"/>
        <c:axId val="31904142"/>
        <c:axId val="44079523"/>
      </c:barChart>
      <c:catAx>
        <c:axId val="31904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79523"/>
        <c:crosses val="autoZero"/>
        <c:auto val="1"/>
        <c:lblAlgn val="ctr"/>
        <c:lblOffset val="100"/>
        <c:noMultiLvlLbl val="0"/>
      </c:catAx>
      <c:valAx>
        <c:axId val="44079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± 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041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20</xdr:row>
      <xdr:rowOff>0</xdr:rowOff>
    </xdr:from>
    <xdr:to>
      <xdr:col>9</xdr:col>
      <xdr:colOff>183960</xdr:colOff>
      <xdr:row>32</xdr:row>
      <xdr:rowOff>53640</xdr:rowOff>
    </xdr:to>
    <xdr:graphicFrame>
      <xdr:nvGraphicFramePr>
        <xdr:cNvPr id="0" name="Chart 1"/>
        <xdr:cNvGraphicFramePr/>
      </xdr:nvGraphicFramePr>
      <xdr:xfrm>
        <a:off x="4370040" y="458136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5" min="4" style="0" width="18"/>
    <col collapsed="false" customWidth="true" hidden="false" outlineLevel="0" max="6" min="6" style="0" width="2"/>
  </cols>
  <sheetData>
    <row r="2" customFormat="false" ht="33.75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2" t="s">
        <v>1</v>
      </c>
      <c r="C3" s="2"/>
      <c r="D3" s="2"/>
      <c r="E3" s="2"/>
    </row>
    <row r="5" customFormat="false" ht="19.5" hidden="false" customHeight="true" outlineLevel="0" collapsed="false">
      <c r="B5" s="3" t="s">
        <v>2</v>
      </c>
      <c r="C5" s="4" t="s">
        <v>3</v>
      </c>
      <c r="D5" s="4"/>
      <c r="E5" s="4"/>
    </row>
    <row r="6" customFormat="false" ht="19.5" hidden="false" customHeight="true" outlineLevel="0" collapsed="false">
      <c r="B6" s="3" t="s">
        <v>4</v>
      </c>
      <c r="C6" s="4" t="s">
        <v>5</v>
      </c>
      <c r="D6" s="4"/>
      <c r="E6" s="4"/>
    </row>
    <row r="7" customFormat="false" ht="19.5" hidden="false" customHeight="true" outlineLevel="0" collapsed="false">
      <c r="B7" s="3" t="s">
        <v>6</v>
      </c>
      <c r="C7" s="4" t="s">
        <v>7</v>
      </c>
      <c r="D7" s="4"/>
      <c r="E7" s="4"/>
    </row>
    <row r="8" customFormat="false" ht="19.5" hidden="false" customHeight="true" outlineLevel="0" collapsed="false">
      <c r="B8" s="3" t="s">
        <v>8</v>
      </c>
      <c r="C8" s="4" t="s">
        <v>9</v>
      </c>
      <c r="D8" s="4"/>
      <c r="E8" s="4"/>
    </row>
    <row r="9" customFormat="false" ht="19.5" hidden="false" customHeight="true" outlineLevel="0" collapsed="false">
      <c r="B9" s="3" t="s">
        <v>10</v>
      </c>
      <c r="C9" s="4" t="s">
        <v>11</v>
      </c>
      <c r="D9" s="4"/>
      <c r="E9" s="4"/>
    </row>
    <row r="10" customFormat="false" ht="19.5" hidden="false" customHeight="true" outlineLevel="0" collapsed="false">
      <c r="B10" s="3" t="s">
        <v>12</v>
      </c>
      <c r="C10" s="4" t="s">
        <v>13</v>
      </c>
      <c r="D10" s="4"/>
      <c r="E10" s="4"/>
    </row>
    <row r="11" customFormat="false" ht="19.5" hidden="false" customHeight="true" outlineLevel="0" collapsed="false">
      <c r="B11" s="3" t="s">
        <v>14</v>
      </c>
      <c r="C11" s="4" t="s">
        <v>15</v>
      </c>
      <c r="D11" s="4"/>
      <c r="E11" s="4"/>
    </row>
    <row r="12" customFormat="false" ht="19.5" hidden="false" customHeight="true" outlineLevel="0" collapsed="false">
      <c r="B12" s="3" t="s">
        <v>16</v>
      </c>
      <c r="C12" s="4" t="s">
        <v>17</v>
      </c>
      <c r="D12" s="4"/>
      <c r="E12" s="4"/>
    </row>
    <row r="13" customFormat="false" ht="19.5" hidden="false" customHeight="true" outlineLevel="0" collapsed="false">
      <c r="B13" s="3" t="s">
        <v>18</v>
      </c>
      <c r="C13" s="4" t="s">
        <v>19</v>
      </c>
      <c r="D13" s="4"/>
      <c r="E13" s="4"/>
    </row>
    <row r="14" customFormat="false" ht="19.5" hidden="false" customHeight="true" outlineLevel="0" collapsed="false">
      <c r="B14" s="3" t="s">
        <v>20</v>
      </c>
      <c r="C14" s="4" t="s">
        <v>21</v>
      </c>
      <c r="D14" s="4"/>
      <c r="E14" s="4"/>
    </row>
    <row r="15" customFormat="false" ht="30" hidden="false" customHeight="true" outlineLevel="0" collapsed="false">
      <c r="B15" s="3" t="s">
        <v>22</v>
      </c>
      <c r="C15" s="4" t="s">
        <v>23</v>
      </c>
      <c r="D15" s="4"/>
      <c r="E15" s="4"/>
    </row>
    <row r="17" customFormat="false" ht="55.5" hidden="false" customHeight="true" outlineLevel="0" collapsed="false">
      <c r="B17" s="5" t="s">
        <v>24</v>
      </c>
      <c r="C17" s="5"/>
      <c r="D17" s="5"/>
      <c r="E17" s="5"/>
    </row>
  </sheetData>
  <mergeCells count="14">
    <mergeCell ref="B2:E2"/>
    <mergeCell ref="B3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2" customFormat="false" ht="24" hidden="false" customHeight="true" outlineLevel="0" collapsed="false">
      <c r="B2" s="6" t="s">
        <v>25</v>
      </c>
      <c r="C2" s="6"/>
      <c r="D2" s="6"/>
      <c r="E2" s="6"/>
      <c r="F2" s="6"/>
    </row>
    <row r="3" customFormat="false" ht="15" hidden="false" customHeight="false" outlineLevel="0" collapsed="false"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</row>
    <row r="4" customFormat="false" ht="43.5" hidden="false" customHeight="true" outlineLevel="0" collapsed="false">
      <c r="B4" s="8" t="s">
        <v>31</v>
      </c>
      <c r="C4" s="9" t="s">
        <v>32</v>
      </c>
      <c r="D4" s="9" t="s">
        <v>33</v>
      </c>
      <c r="E4" s="10" t="s">
        <v>34</v>
      </c>
      <c r="F4" s="9" t="s">
        <v>35</v>
      </c>
    </row>
    <row r="5" customFormat="false" ht="43.5" hidden="false" customHeight="true" outlineLevel="0" collapsed="false">
      <c r="B5" s="8" t="s">
        <v>36</v>
      </c>
      <c r="C5" s="9" t="s">
        <v>37</v>
      </c>
      <c r="D5" s="9" t="s">
        <v>38</v>
      </c>
      <c r="E5" s="10" t="s">
        <v>39</v>
      </c>
      <c r="F5" s="9" t="s">
        <v>40</v>
      </c>
    </row>
    <row r="6" customFormat="false" ht="43.5" hidden="false" customHeight="true" outlineLevel="0" collapsed="false">
      <c r="B6" s="8" t="s">
        <v>41</v>
      </c>
      <c r="C6" s="9" t="s">
        <v>42</v>
      </c>
      <c r="D6" s="9" t="s">
        <v>43</v>
      </c>
      <c r="E6" s="10" t="s">
        <v>44</v>
      </c>
      <c r="F6" s="9" t="s">
        <v>45</v>
      </c>
    </row>
    <row r="8" customFormat="false" ht="18" hidden="false" customHeight="true" outlineLevel="0" collapsed="false">
      <c r="B8" s="11" t="s">
        <v>46</v>
      </c>
      <c r="C8" s="11"/>
      <c r="D8" s="11"/>
      <c r="E8" s="12" t="n">
        <f aca="false">SUM(E4:E6)</f>
        <v>0</v>
      </c>
      <c r="F8" s="13" t="s">
        <v>47</v>
      </c>
    </row>
    <row r="10" customFormat="false" ht="45.75" hidden="false" customHeight="true" outlineLevel="0" collapsed="false">
      <c r="B10" s="14" t="s">
        <v>48</v>
      </c>
      <c r="C10" s="14"/>
      <c r="D10" s="14"/>
      <c r="E10" s="14"/>
      <c r="F10" s="14"/>
    </row>
  </sheetData>
  <mergeCells count="3">
    <mergeCell ref="B2:F2"/>
    <mergeCell ref="B8:D8"/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34"/>
    <col collapsed="false" customWidth="true" hidden="false" outlineLevel="0" max="9" min="9" style="0" width="18"/>
    <col collapsed="false" customWidth="true" hidden="false" outlineLevel="0" max="10" min="10" style="0" width="2"/>
  </cols>
  <sheetData>
    <row r="2" customFormat="false" ht="24" hidden="false" customHeight="true" outlineLevel="0" collapsed="false">
      <c r="B2" s="6" t="s">
        <v>49</v>
      </c>
      <c r="C2" s="6"/>
      <c r="D2" s="6"/>
      <c r="E2" s="6"/>
      <c r="F2" s="6"/>
      <c r="G2" s="6"/>
      <c r="H2" s="6"/>
      <c r="I2" s="6"/>
    </row>
    <row r="3" customFormat="false" ht="23.85" hidden="false" customHeight="false" outlineLevel="0" collapsed="false">
      <c r="B3" s="7" t="s">
        <v>50</v>
      </c>
      <c r="C3" s="7" t="s">
        <v>51</v>
      </c>
      <c r="D3" s="7" t="s">
        <v>52</v>
      </c>
      <c r="E3" s="7" t="s">
        <v>53</v>
      </c>
      <c r="F3" s="7" t="s">
        <v>54</v>
      </c>
      <c r="G3" s="7" t="s">
        <v>55</v>
      </c>
      <c r="H3" s="7" t="s">
        <v>30</v>
      </c>
      <c r="I3" s="7" t="s">
        <v>56</v>
      </c>
    </row>
    <row r="4" customFormat="false" ht="33.75" hidden="false" customHeight="true" outlineLevel="0" collapsed="false">
      <c r="B4" s="15" t="s">
        <v>44</v>
      </c>
      <c r="C4" s="16" t="s">
        <v>57</v>
      </c>
      <c r="D4" s="16" t="s">
        <v>58</v>
      </c>
      <c r="E4" s="15" t="s">
        <v>59</v>
      </c>
      <c r="F4" s="15" t="s">
        <v>60</v>
      </c>
      <c r="G4" s="15" t="s">
        <v>60</v>
      </c>
      <c r="H4" s="17" t="s">
        <v>61</v>
      </c>
      <c r="I4" s="17" t="s">
        <v>62</v>
      </c>
    </row>
    <row r="5" customFormat="false" ht="33.75" hidden="false" customHeight="true" outlineLevel="0" collapsed="false">
      <c r="B5" s="18" t="s">
        <v>39</v>
      </c>
      <c r="C5" s="9" t="s">
        <v>63</v>
      </c>
      <c r="D5" s="9" t="s">
        <v>64</v>
      </c>
      <c r="E5" s="18" t="s">
        <v>65</v>
      </c>
      <c r="F5" s="18" t="s">
        <v>60</v>
      </c>
      <c r="G5" s="18" t="s">
        <v>60</v>
      </c>
      <c r="H5" s="19" t="s">
        <v>66</v>
      </c>
      <c r="I5" s="19" t="s">
        <v>67</v>
      </c>
    </row>
    <row r="6" customFormat="false" ht="33.75" hidden="false" customHeight="true" outlineLevel="0" collapsed="false">
      <c r="B6" s="15" t="s">
        <v>34</v>
      </c>
      <c r="C6" s="16" t="s">
        <v>68</v>
      </c>
      <c r="D6" s="16" t="s">
        <v>69</v>
      </c>
      <c r="E6" s="15" t="s">
        <v>70</v>
      </c>
      <c r="F6" s="15" t="s">
        <v>31</v>
      </c>
      <c r="G6" s="15" t="s">
        <v>71</v>
      </c>
      <c r="H6" s="17" t="s">
        <v>72</v>
      </c>
      <c r="I6" s="17" t="s">
        <v>73</v>
      </c>
    </row>
    <row r="7" customFormat="false" ht="33.75" hidden="false" customHeight="true" outlineLevel="0" collapsed="false">
      <c r="B7" s="18" t="s">
        <v>74</v>
      </c>
      <c r="C7" s="9" t="s">
        <v>75</v>
      </c>
      <c r="D7" s="9" t="s">
        <v>69</v>
      </c>
      <c r="E7" s="18" t="s">
        <v>70</v>
      </c>
      <c r="F7" s="18" t="s">
        <v>76</v>
      </c>
      <c r="G7" s="18" t="s">
        <v>71</v>
      </c>
      <c r="H7" s="19" t="s">
        <v>77</v>
      </c>
      <c r="I7" s="19" t="s">
        <v>73</v>
      </c>
    </row>
    <row r="8" customFormat="false" ht="33.75" hidden="false" customHeight="true" outlineLevel="0" collapsed="false">
      <c r="B8" s="15" t="s">
        <v>78</v>
      </c>
      <c r="C8" s="16" t="s">
        <v>79</v>
      </c>
      <c r="D8" s="16" t="s">
        <v>69</v>
      </c>
      <c r="E8" s="15" t="s">
        <v>80</v>
      </c>
      <c r="F8" s="15" t="s">
        <v>81</v>
      </c>
      <c r="G8" s="15" t="s">
        <v>71</v>
      </c>
      <c r="H8" s="17" t="s">
        <v>82</v>
      </c>
      <c r="I8" s="17" t="s">
        <v>83</v>
      </c>
    </row>
    <row r="9" customFormat="false" ht="33.75" hidden="false" customHeight="true" outlineLevel="0" collapsed="false">
      <c r="B9" s="18" t="s">
        <v>84</v>
      </c>
      <c r="C9" s="9" t="s">
        <v>85</v>
      </c>
      <c r="D9" s="9" t="s">
        <v>69</v>
      </c>
      <c r="E9" s="18" t="s">
        <v>86</v>
      </c>
      <c r="F9" s="18" t="s">
        <v>81</v>
      </c>
      <c r="G9" s="18" t="s">
        <v>71</v>
      </c>
      <c r="H9" s="19" t="s">
        <v>87</v>
      </c>
      <c r="I9" s="19" t="s">
        <v>73</v>
      </c>
    </row>
    <row r="10" customFormat="false" ht="33.75" hidden="false" customHeight="true" outlineLevel="0" collapsed="false">
      <c r="B10" s="15" t="s">
        <v>88</v>
      </c>
      <c r="C10" s="16" t="s">
        <v>85</v>
      </c>
      <c r="D10" s="16" t="s">
        <v>89</v>
      </c>
      <c r="E10" s="15" t="s">
        <v>90</v>
      </c>
      <c r="F10" s="15" t="s">
        <v>31</v>
      </c>
      <c r="G10" s="15" t="s">
        <v>60</v>
      </c>
      <c r="H10" s="17" t="s">
        <v>91</v>
      </c>
      <c r="I10" s="17" t="s">
        <v>92</v>
      </c>
    </row>
    <row r="11" customFormat="false" ht="33.75" hidden="false" customHeight="true" outlineLevel="0" collapsed="false">
      <c r="B11" s="18" t="s">
        <v>93</v>
      </c>
      <c r="C11" s="9" t="s">
        <v>85</v>
      </c>
      <c r="D11" s="9" t="s">
        <v>64</v>
      </c>
      <c r="E11" s="18" t="s">
        <v>94</v>
      </c>
      <c r="F11" s="18" t="s">
        <v>60</v>
      </c>
      <c r="G11" s="18" t="s">
        <v>60</v>
      </c>
      <c r="H11" s="19" t="s">
        <v>95</v>
      </c>
      <c r="I11" s="19" t="s">
        <v>67</v>
      </c>
    </row>
    <row r="12" customFormat="false" ht="33.75" hidden="false" customHeight="true" outlineLevel="0" collapsed="false">
      <c r="B12" s="15" t="s">
        <v>96</v>
      </c>
      <c r="C12" s="16" t="s">
        <v>97</v>
      </c>
      <c r="D12" s="16" t="s">
        <v>98</v>
      </c>
      <c r="E12" s="15" t="s">
        <v>99</v>
      </c>
      <c r="F12" s="15" t="s">
        <v>31</v>
      </c>
      <c r="G12" s="15" t="s">
        <v>60</v>
      </c>
      <c r="H12" s="17" t="s">
        <v>100</v>
      </c>
      <c r="I12" s="17" t="s">
        <v>101</v>
      </c>
    </row>
    <row r="13" customFormat="false" ht="33.75" hidden="false" customHeight="true" outlineLevel="0" collapsed="false">
      <c r="B13" s="20" t="s">
        <v>102</v>
      </c>
      <c r="C13" s="21" t="s">
        <v>103</v>
      </c>
      <c r="D13" s="21" t="s">
        <v>104</v>
      </c>
      <c r="E13" s="20" t="s">
        <v>105</v>
      </c>
      <c r="F13" s="20" t="s">
        <v>76</v>
      </c>
      <c r="G13" s="20" t="s">
        <v>60</v>
      </c>
      <c r="H13" s="22" t="s">
        <v>106</v>
      </c>
      <c r="I13" s="22" t="s">
        <v>107</v>
      </c>
    </row>
    <row r="15" customFormat="false" ht="51.75" hidden="false" customHeight="true" outlineLevel="0" collapsed="false">
      <c r="B15" s="5" t="s">
        <v>108</v>
      </c>
      <c r="C15" s="5"/>
      <c r="D15" s="5"/>
      <c r="E15" s="5"/>
      <c r="F15" s="5"/>
      <c r="G15" s="5"/>
      <c r="H15" s="5"/>
      <c r="I15" s="5"/>
    </row>
  </sheetData>
  <mergeCells count="2">
    <mergeCell ref="B2:I2"/>
    <mergeCell ref="B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"/>
  </cols>
  <sheetData>
    <row r="2" customFormat="false" ht="24" hidden="false" customHeight="true" outlineLevel="0" collapsed="false">
      <c r="B2" s="6" t="s">
        <v>109</v>
      </c>
      <c r="C2" s="6"/>
      <c r="D2" s="6"/>
      <c r="E2" s="6"/>
      <c r="F2" s="6"/>
      <c r="G2" s="6"/>
    </row>
    <row r="3" customFormat="false" ht="30" hidden="false" customHeight="true" outlineLevel="0" collapsed="false">
      <c r="B3" s="23" t="s">
        <v>110</v>
      </c>
      <c r="C3" s="23"/>
      <c r="D3" s="23"/>
      <c r="E3" s="23"/>
      <c r="F3" s="23"/>
      <c r="G3" s="23"/>
    </row>
    <row r="4" customFormat="false" ht="15" hidden="false" customHeight="false" outlineLevel="0" collapsed="false">
      <c r="B4" s="7" t="s">
        <v>111</v>
      </c>
      <c r="C4" s="7" t="s">
        <v>112</v>
      </c>
      <c r="D4" s="7" t="s">
        <v>113</v>
      </c>
      <c r="E4" s="7" t="s">
        <v>114</v>
      </c>
      <c r="F4" s="7" t="s">
        <v>115</v>
      </c>
      <c r="G4" s="7" t="s">
        <v>116</v>
      </c>
    </row>
    <row r="5" customFormat="false" ht="15" hidden="false" customHeight="false" outlineLevel="0" collapsed="false">
      <c r="B5" s="24" t="s">
        <v>117</v>
      </c>
      <c r="C5" s="25" t="s">
        <v>118</v>
      </c>
      <c r="D5" s="26" t="n">
        <v>12</v>
      </c>
      <c r="E5" s="26" t="n">
        <v>0.1</v>
      </c>
      <c r="F5" s="27" t="n">
        <f aca="false">E5^2</f>
        <v>0.01</v>
      </c>
      <c r="G5" s="28" t="s">
        <v>119</v>
      </c>
    </row>
    <row r="6" customFormat="false" ht="15" hidden="false" customHeight="false" outlineLevel="0" collapsed="false">
      <c r="B6" s="24" t="s">
        <v>120</v>
      </c>
      <c r="C6" s="25" t="s">
        <v>121</v>
      </c>
      <c r="D6" s="26" t="n">
        <v>78</v>
      </c>
      <c r="E6" s="26" t="n">
        <v>0.15</v>
      </c>
      <c r="F6" s="27" t="n">
        <f aca="false">E6^2</f>
        <v>0.0225</v>
      </c>
      <c r="G6" s="28" t="s">
        <v>119</v>
      </c>
    </row>
    <row r="7" customFormat="false" ht="15" hidden="false" customHeight="false" outlineLevel="0" collapsed="false">
      <c r="B7" s="24" t="s">
        <v>122</v>
      </c>
      <c r="C7" s="25" t="s">
        <v>123</v>
      </c>
      <c r="D7" s="26" t="n">
        <v>25</v>
      </c>
      <c r="E7" s="26" t="n">
        <v>0.1</v>
      </c>
      <c r="F7" s="27" t="n">
        <f aca="false">E7^2</f>
        <v>0.01</v>
      </c>
      <c r="G7" s="28" t="s">
        <v>119</v>
      </c>
    </row>
    <row r="8" customFormat="false" ht="15" hidden="false" customHeight="false" outlineLevel="0" collapsed="false">
      <c r="B8" s="29"/>
      <c r="C8" s="30" t="s">
        <v>124</v>
      </c>
      <c r="D8" s="31" t="n">
        <f aca="false">SUM(D5:D7)</f>
        <v>115</v>
      </c>
      <c r="E8" s="29"/>
      <c r="F8" s="29"/>
      <c r="G8" s="29"/>
    </row>
    <row r="10" customFormat="false" ht="15" hidden="false" customHeight="false" outlineLevel="0" collapsed="false">
      <c r="B10" s="32" t="s">
        <v>125</v>
      </c>
      <c r="C10" s="32"/>
      <c r="D10" s="32"/>
    </row>
    <row r="11" customFormat="false" ht="15" hidden="false" customHeight="false" outlineLevel="0" collapsed="false">
      <c r="C11" s="33" t="s">
        <v>126</v>
      </c>
      <c r="D11" s="34" t="n">
        <f aca="false">SUM(E5:E7)</f>
        <v>0.35</v>
      </c>
    </row>
    <row r="12" customFormat="false" ht="15" hidden="false" customHeight="false" outlineLevel="0" collapsed="false">
      <c r="C12" s="35" t="s">
        <v>127</v>
      </c>
      <c r="D12" s="36" t="n">
        <f aca="false">2*D11</f>
        <v>0.7</v>
      </c>
    </row>
    <row r="13" customFormat="false" ht="15" hidden="false" customHeight="false" outlineLevel="0" collapsed="false">
      <c r="C13" s="37" t="s">
        <v>128</v>
      </c>
      <c r="D13" s="38" t="n">
        <f aca="false">SQRT(SUM(F5:F7))</f>
        <v>0.206155281280883</v>
      </c>
    </row>
    <row r="14" customFormat="false" ht="15" hidden="false" customHeight="false" outlineLevel="0" collapsed="false">
      <c r="C14" s="39" t="s">
        <v>129</v>
      </c>
      <c r="D14" s="40" t="n">
        <f aca="false">2*D13</f>
        <v>0.412310562561766</v>
      </c>
    </row>
    <row r="15" customFormat="false" ht="15" hidden="false" customHeight="false" outlineLevel="0" collapsed="false">
      <c r="C15" s="41" t="s">
        <v>130</v>
      </c>
      <c r="D15" s="42" t="n">
        <f aca="false">D13/D11</f>
        <v>0.589015089373952</v>
      </c>
    </row>
    <row r="17" customFormat="false" ht="15" hidden="false" customHeight="false" outlineLevel="0" collapsed="false">
      <c r="C17" s="43" t="s">
        <v>131</v>
      </c>
      <c r="D17" s="44" t="n">
        <v>0.3</v>
      </c>
    </row>
    <row r="18" customFormat="false" ht="15" hidden="false" customHeight="false" outlineLevel="0" collapsed="false">
      <c r="C18" s="45" t="s">
        <v>132</v>
      </c>
      <c r="D18" s="46" t="str">
        <f aca="false">IF(D13&lt;=D17,"PASS","FAIL")</f>
        <v>PASS</v>
      </c>
    </row>
    <row r="20" customFormat="false" ht="51.75" hidden="false" customHeight="true" outlineLevel="0" collapsed="false">
      <c r="B20" s="5" t="s">
        <v>133</v>
      </c>
      <c r="C20" s="5"/>
      <c r="D20" s="5"/>
      <c r="E20" s="5"/>
      <c r="F20" s="5"/>
      <c r="G20" s="5"/>
    </row>
    <row r="22" customFormat="false" ht="15" hidden="false" customHeight="false" outlineLevel="0" collapsed="false">
      <c r="B22" s="47" t="s">
        <v>134</v>
      </c>
    </row>
    <row r="23" customFormat="false" ht="15" hidden="false" customHeight="false" outlineLevel="0" collapsed="false">
      <c r="B23" s="48" t="s">
        <v>135</v>
      </c>
      <c r="C23" s="49" t="n">
        <f aca="false">D11</f>
        <v>0.35</v>
      </c>
    </row>
    <row r="24" customFormat="false" ht="15" hidden="false" customHeight="false" outlineLevel="0" collapsed="false">
      <c r="B24" s="48" t="s">
        <v>136</v>
      </c>
      <c r="C24" s="49" t="n">
        <f aca="false">D13</f>
        <v>0.206155281280883</v>
      </c>
    </row>
    <row r="25" customFormat="false" ht="15" hidden="false" customHeight="false" outlineLevel="0" collapsed="false">
      <c r="B25" s="48" t="s">
        <v>137</v>
      </c>
      <c r="C25" s="49" t="n">
        <f aca="false">D17</f>
        <v>0.3</v>
      </c>
    </row>
  </sheetData>
  <mergeCells count="4">
    <mergeCell ref="B2:G2"/>
    <mergeCell ref="B3:G3"/>
    <mergeCell ref="B10:D10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40"/>
    <col collapsed="false" customWidth="true" hidden="false" outlineLevel="0" max="6" min="6" style="0" width="2"/>
  </cols>
  <sheetData>
    <row r="2" customFormat="false" ht="24" hidden="false" customHeight="true" outlineLevel="0" collapsed="false">
      <c r="B2" s="6" t="s">
        <v>138</v>
      </c>
      <c r="C2" s="6"/>
      <c r="D2" s="6"/>
      <c r="E2" s="6"/>
    </row>
    <row r="3" customFormat="false" ht="15" hidden="false" customHeight="true" outlineLevel="0" collapsed="false">
      <c r="B3" s="7" t="s">
        <v>139</v>
      </c>
      <c r="C3" s="7" t="s">
        <v>140</v>
      </c>
      <c r="D3" s="7"/>
      <c r="E3" s="7" t="s">
        <v>141</v>
      </c>
    </row>
    <row r="4" customFormat="false" ht="15" hidden="false" customHeight="false" outlineLevel="0" collapsed="false">
      <c r="B4" s="50" t="s">
        <v>142</v>
      </c>
      <c r="C4" s="26" t="n">
        <v>8</v>
      </c>
      <c r="D4" s="26"/>
      <c r="E4" s="19" t="s">
        <v>143</v>
      </c>
    </row>
    <row r="5" customFormat="false" ht="15" hidden="false" customHeight="false" outlineLevel="0" collapsed="false">
      <c r="B5" s="50" t="s">
        <v>144</v>
      </c>
      <c r="C5" s="26" t="n">
        <v>8.4</v>
      </c>
      <c r="D5" s="26"/>
      <c r="E5" s="19" t="s">
        <v>145</v>
      </c>
    </row>
    <row r="6" customFormat="false" ht="15" hidden="false" customHeight="false" outlineLevel="0" collapsed="false">
      <c r="B6" s="50" t="s">
        <v>146</v>
      </c>
      <c r="C6" s="26" t="n">
        <v>8.6</v>
      </c>
      <c r="D6" s="26"/>
      <c r="E6" s="19" t="s">
        <v>147</v>
      </c>
    </row>
    <row r="7" customFormat="false" ht="22.35" hidden="false" customHeight="false" outlineLevel="0" collapsed="false">
      <c r="B7" s="51" t="s">
        <v>148</v>
      </c>
      <c r="C7" s="52" t="n">
        <f aca="false">(C5-C4)/2</f>
        <v>0.2</v>
      </c>
      <c r="D7" s="52"/>
      <c r="E7" s="17" t="s">
        <v>149</v>
      </c>
    </row>
    <row r="8" customFormat="false" ht="15" hidden="false" customHeight="false" outlineLevel="0" collapsed="false">
      <c r="B8" s="53" t="s">
        <v>150</v>
      </c>
      <c r="C8" s="54" t="n">
        <v>0.2</v>
      </c>
      <c r="D8" s="54"/>
      <c r="E8" s="55" t="s">
        <v>151</v>
      </c>
    </row>
    <row r="10" customFormat="false" ht="15" hidden="false" customHeight="false" outlineLevel="0" collapsed="false">
      <c r="B10" s="32" t="s">
        <v>152</v>
      </c>
      <c r="C10" s="32"/>
      <c r="D10" s="32"/>
      <c r="E10" s="32"/>
    </row>
    <row r="11" customFormat="false" ht="15" hidden="false" customHeight="false" outlineLevel="0" collapsed="false">
      <c r="B11" s="39" t="s">
        <v>153</v>
      </c>
      <c r="C11" s="56" t="n">
        <f aca="false">C6-C5</f>
        <v>0.199999999999999</v>
      </c>
      <c r="D11" s="56"/>
      <c r="E11" s="22" t="s">
        <v>154</v>
      </c>
    </row>
    <row r="12" customFormat="false" ht="15" hidden="false" customHeight="false" outlineLevel="0" collapsed="false">
      <c r="B12" s="37" t="s">
        <v>155</v>
      </c>
      <c r="C12" s="57" t="n">
        <f aca="false">C8+C11</f>
        <v>0.399999999999999</v>
      </c>
      <c r="D12" s="57"/>
      <c r="E12" s="22" t="s">
        <v>156</v>
      </c>
    </row>
    <row r="14" customFormat="false" ht="15" hidden="false" customHeight="false" outlineLevel="0" collapsed="false">
      <c r="B14" s="32" t="s">
        <v>157</v>
      </c>
      <c r="C14" s="32"/>
      <c r="D14" s="32"/>
      <c r="E14" s="32"/>
    </row>
    <row r="15" customFormat="false" ht="15" hidden="false" customHeight="false" outlineLevel="0" collapsed="false">
      <c r="B15" s="51" t="s">
        <v>158</v>
      </c>
      <c r="C15" s="58" t="n">
        <f aca="false">C5-C8</f>
        <v>8.2</v>
      </c>
      <c r="D15" s="58"/>
      <c r="E15" s="17" t="s">
        <v>159</v>
      </c>
    </row>
    <row r="16" customFormat="false" ht="15" hidden="false" customHeight="false" outlineLevel="0" collapsed="false">
      <c r="B16" s="43" t="s">
        <v>160</v>
      </c>
      <c r="C16" s="59" t="n">
        <f aca="false">C15-C4</f>
        <v>0.200000000000001</v>
      </c>
      <c r="D16" s="59"/>
      <c r="E16" s="17" t="s">
        <v>161</v>
      </c>
    </row>
    <row r="17" customFormat="false" ht="22.35" hidden="false" customHeight="false" outlineLevel="0" collapsed="false">
      <c r="B17" s="45" t="s">
        <v>162</v>
      </c>
      <c r="C17" s="46" t="str">
        <f aca="false">IF(C16&gt;=0,"GUARANTEED ASSEMBLY","INTERFERENCE RISK")</f>
        <v>GUARANTEED ASSEMBLY</v>
      </c>
      <c r="D17" s="46"/>
      <c r="E17" s="19" t="s">
        <v>163</v>
      </c>
    </row>
    <row r="19" customFormat="false" ht="51.75" hidden="false" customHeight="true" outlineLevel="0" collapsed="false">
      <c r="B19" s="5" t="s">
        <v>164</v>
      </c>
      <c r="C19" s="5"/>
      <c r="D19" s="5"/>
      <c r="E19" s="5"/>
    </row>
  </sheetData>
  <mergeCells count="15">
    <mergeCell ref="B2:E2"/>
    <mergeCell ref="C3:D3"/>
    <mergeCell ref="C4:D4"/>
    <mergeCell ref="C5:D5"/>
    <mergeCell ref="C6:D6"/>
    <mergeCell ref="C7:D7"/>
    <mergeCell ref="C8:D8"/>
    <mergeCell ref="B10:E10"/>
    <mergeCell ref="C11:D11"/>
    <mergeCell ref="C12:D12"/>
    <mergeCell ref="B14:E14"/>
    <mergeCell ref="C15:D15"/>
    <mergeCell ref="C16:D16"/>
    <mergeCell ref="C17:D17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2"/>
  </cols>
  <sheetData>
    <row r="2" customFormat="false" ht="24" hidden="false" customHeight="true" outlineLevel="0" collapsed="false">
      <c r="B2" s="6" t="s">
        <v>165</v>
      </c>
      <c r="C2" s="6"/>
      <c r="D2" s="6"/>
    </row>
    <row r="3" customFormat="false" ht="15" hidden="false" customHeight="false" outlineLevel="0" collapsed="false">
      <c r="B3" s="7" t="s">
        <v>166</v>
      </c>
      <c r="C3" s="7" t="s">
        <v>167</v>
      </c>
      <c r="D3" s="7" t="s">
        <v>168</v>
      </c>
    </row>
    <row r="4" customFormat="false" ht="25.5" hidden="false" customHeight="true" outlineLevel="0" collapsed="false">
      <c r="B4" s="3" t="s">
        <v>14</v>
      </c>
      <c r="C4" s="60" t="s">
        <v>169</v>
      </c>
      <c r="D4" s="17" t="s">
        <v>170</v>
      </c>
    </row>
    <row r="5" customFormat="false" ht="25.5" hidden="false" customHeight="true" outlineLevel="0" collapsed="false">
      <c r="B5" s="61" t="s">
        <v>171</v>
      </c>
      <c r="C5" s="62" t="s">
        <v>172</v>
      </c>
      <c r="D5" s="19" t="s">
        <v>173</v>
      </c>
    </row>
    <row r="6" customFormat="false" ht="25.5" hidden="false" customHeight="true" outlineLevel="0" collapsed="false">
      <c r="B6" s="3" t="s">
        <v>174</v>
      </c>
      <c r="C6" s="60" t="n">
        <f aca="false">COUNTA('FCF Register'!C4:C13)</f>
        <v>10</v>
      </c>
      <c r="D6" s="17" t="s">
        <v>175</v>
      </c>
    </row>
    <row r="7" customFormat="false" ht="25.5" hidden="false" customHeight="true" outlineLevel="0" collapsed="false">
      <c r="B7" s="61" t="s">
        <v>176</v>
      </c>
      <c r="C7" s="62" t="s">
        <v>177</v>
      </c>
      <c r="D7" s="19" t="s">
        <v>178</v>
      </c>
    </row>
    <row r="8" customFormat="false" ht="25.5" hidden="false" customHeight="true" outlineLevel="0" collapsed="false">
      <c r="B8" s="3" t="s">
        <v>179</v>
      </c>
      <c r="C8" s="60" t="str">
        <f aca="false">"+/- " &amp; 'Stackup-BoreHeight'!D11 &amp; " mm"</f>
        <v>+/- 0.35 mm</v>
      </c>
      <c r="D8" s="17" t="s">
        <v>180</v>
      </c>
    </row>
    <row r="9" customFormat="false" ht="25.5" hidden="false" customHeight="true" outlineLevel="0" collapsed="false">
      <c r="B9" s="61" t="s">
        <v>181</v>
      </c>
      <c r="C9" s="62" t="str">
        <f aca="false">"+/- " &amp; TEXT('Stackup-BoreHeight'!D13,"0.000") &amp; " mm"</f>
        <v>+/- 0.206 mm</v>
      </c>
      <c r="D9" s="19" t="s">
        <v>182</v>
      </c>
    </row>
    <row r="10" customFormat="false" ht="25.5" hidden="false" customHeight="true" outlineLevel="0" collapsed="false">
      <c r="B10" s="3" t="s">
        <v>183</v>
      </c>
      <c r="C10" s="60" t="str">
        <f aca="false">TEXT('Stackup-BoreHeight'!D15,"0.0%")</f>
        <v>58.9%</v>
      </c>
      <c r="D10" s="17" t="s">
        <v>184</v>
      </c>
    </row>
    <row r="11" customFormat="false" ht="25.5" hidden="false" customHeight="true" outlineLevel="0" collapsed="false">
      <c r="B11" s="61" t="s">
        <v>185</v>
      </c>
      <c r="C11" s="62" t="s">
        <v>186</v>
      </c>
      <c r="D11" s="19" t="s">
        <v>187</v>
      </c>
    </row>
    <row r="12" customFormat="false" ht="25.5" hidden="false" customHeight="true" outlineLevel="0" collapsed="false">
      <c r="B12" s="3" t="s">
        <v>188</v>
      </c>
      <c r="C12" s="60" t="str">
        <f aca="false">"Ø" &amp; TEXT('Fastener Fit (MMC)'!C12,"0.00") &amp; " (incl. bonus)"</f>
        <v>Ø0.40 (incl. bonus)</v>
      </c>
      <c r="D12" s="17" t="s">
        <v>189</v>
      </c>
    </row>
    <row r="13" customFormat="false" ht="25.5" hidden="false" customHeight="true" outlineLevel="0" collapsed="false">
      <c r="B13" s="61" t="s">
        <v>190</v>
      </c>
      <c r="C13" s="62" t="str">
        <f aca="false">'Fastener Fit (MMC)'!C17</f>
        <v>GUARANTEED ASSEMBLY</v>
      </c>
      <c r="D13" s="19" t="s">
        <v>191</v>
      </c>
    </row>
    <row r="15" customFormat="false" ht="45.75" hidden="false" customHeight="true" outlineLevel="0" collapsed="false">
      <c r="B15" s="63" t="s">
        <v>192</v>
      </c>
      <c r="C15" s="63"/>
      <c r="D15" s="63"/>
    </row>
  </sheetData>
  <mergeCells count="2">
    <mergeCell ref="B2:D2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2026-05-25T16:58:04Z</dcterms:created>
  <dc:creator>openpyxl</dc:creator>
  <dc:description/>
  <dc:language>en-US</dc:language>
  <cp:lastModifiedBy/>
  <dcterms:modified xsi:type="dcterms:W3CDTF">2026-05-25T16:58:05Z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